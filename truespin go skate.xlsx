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F1E44B6C7A773E/Documents/"/>
    </mc:Choice>
  </mc:AlternateContent>
  <xr:revisionPtr revIDLastSave="0" documentId="8_{F5291767-948A-9148-AB4E-DA6F7C22BA99}" xr6:coauthVersionLast="47" xr6:coauthVersionMax="47" xr10:uidLastSave="{00000000-0000-0000-0000-000000000000}"/>
  <bookViews>
    <workbookView xWindow="-110" yWindow="-110" windowWidth="19420" windowHeight="11500" activeTab="2" xr2:uid="{CE6CF9D5-42D6-45B9-9402-836A1664008E}"/>
  </bookViews>
  <sheets>
    <sheet name="Inventory " sheetId="5" r:id="rId1"/>
    <sheet name="Inward" sheetId="1" r:id="rId2"/>
    <sheet name="outward" sheetId="4" r:id="rId3"/>
    <sheet name="influencer 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K5" i="1"/>
  <c r="L5" i="1"/>
  <c r="L2" i="1"/>
  <c r="L3" i="1"/>
  <c r="L4" i="1"/>
  <c r="L8" i="1"/>
  <c r="L9" i="1"/>
  <c r="L10" i="1"/>
  <c r="L11" i="1"/>
  <c r="L12" i="1"/>
  <c r="L13" i="1"/>
  <c r="L14" i="1"/>
  <c r="L15" i="1"/>
  <c r="K14" i="1"/>
  <c r="K15" i="1"/>
  <c r="J2" i="1"/>
  <c r="K2" i="1"/>
  <c r="J3" i="1"/>
  <c r="K3" i="1"/>
  <c r="J4" i="1"/>
  <c r="K4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J15" i="1"/>
  <c r="L7" i="1"/>
  <c r="L6" i="1"/>
</calcChain>
</file>

<file path=xl/sharedStrings.xml><?xml version="1.0" encoding="utf-8"?>
<sst xmlns="http://schemas.openxmlformats.org/spreadsheetml/2006/main" count="86" uniqueCount="52">
  <si>
    <t xml:space="preserve">date </t>
  </si>
  <si>
    <t xml:space="preserve">order id </t>
  </si>
  <si>
    <t xml:space="preserve">location </t>
  </si>
  <si>
    <t xml:space="preserve">product </t>
  </si>
  <si>
    <t xml:space="preserve">dispatched qty </t>
  </si>
  <si>
    <t xml:space="preserve">delivered qty </t>
  </si>
  <si>
    <t xml:space="preserve">status </t>
  </si>
  <si>
    <t xml:space="preserve">transporter </t>
  </si>
  <si>
    <t xml:space="preserve">amt </t>
  </si>
  <si>
    <t xml:space="preserve">banglore </t>
  </si>
  <si>
    <t xml:space="preserve">velo kids </t>
  </si>
  <si>
    <t xml:space="preserve">delivered </t>
  </si>
  <si>
    <t>xpress</t>
  </si>
  <si>
    <t xml:space="preserve">inc gst </t>
  </si>
  <si>
    <t xml:space="preserve">pebble </t>
  </si>
  <si>
    <t xml:space="preserve">adult bag </t>
  </si>
  <si>
    <t xml:space="preserve">total </t>
  </si>
  <si>
    <t xml:space="preserve">twister </t>
  </si>
  <si>
    <t>delivered</t>
  </si>
  <si>
    <t>rcpl</t>
  </si>
  <si>
    <t xml:space="preserve">  </t>
  </si>
  <si>
    <t>qty</t>
  </si>
  <si>
    <t>price per pc</t>
  </si>
  <si>
    <t xml:space="preserve">price per pc </t>
  </si>
  <si>
    <t xml:space="preserve">transport </t>
  </si>
  <si>
    <t>transportation</t>
  </si>
  <si>
    <t xml:space="preserve">Name </t>
  </si>
  <si>
    <t>sr no</t>
  </si>
  <si>
    <t xml:space="preserve">category </t>
  </si>
  <si>
    <t xml:space="preserve">name </t>
  </si>
  <si>
    <t>outward</t>
  </si>
  <si>
    <t xml:space="preserve">stock </t>
  </si>
  <si>
    <t>skates</t>
  </si>
  <si>
    <t xml:space="preserve">velo kids blue s </t>
  </si>
  <si>
    <t>velo kids blue xs</t>
  </si>
  <si>
    <t xml:space="preserve">velo kids pink xs </t>
  </si>
  <si>
    <t xml:space="preserve">velo kids pink s </t>
  </si>
  <si>
    <t>twister blue xs</t>
  </si>
  <si>
    <t xml:space="preserve">twsiter blue s </t>
  </si>
  <si>
    <t>twister blue M</t>
  </si>
  <si>
    <t xml:space="preserve">twister pink xs </t>
  </si>
  <si>
    <t>twister pink s</t>
  </si>
  <si>
    <t xml:space="preserve">skates </t>
  </si>
  <si>
    <t>glider blue M</t>
  </si>
  <si>
    <t>glider blue L</t>
  </si>
  <si>
    <t xml:space="preserve">glider grey M </t>
  </si>
  <si>
    <t xml:space="preserve">glider grey L </t>
  </si>
  <si>
    <t xml:space="preserve">helmet </t>
  </si>
  <si>
    <t xml:space="preserve">pebble blue xs </t>
  </si>
  <si>
    <t xml:space="preserve">pebble blue s </t>
  </si>
  <si>
    <t xml:space="preserve">pebble pink xs </t>
  </si>
  <si>
    <t xml:space="preserve">vortax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</si>
</sst>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</cellXfs>
  <cellStyles count="1">
    <cellStyle name="Normal" xfId="0" builtinId="0"/>
  </cellStyles>
  <dxfs count="35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9F4B45-84EB-4793-ADC7-D05207DCEEC0}" name="Table4" displayName="Table4" ref="A1:F34" totalsRowShown="0" headerRowDxfId="21" dataDxfId="20">
  <autoFilter ref="A1:F34" xr:uid="{BB9F4B45-84EB-4793-ADC7-D05207DCEEC0}"/>
  <tableColumns count="6">
    <tableColumn id="1" xr3:uid="{E8EE74B7-A261-4FA7-AD42-ABAC38DB1E48}" name="sr no" dataDxfId="19"/>
    <tableColumn id="2" xr3:uid="{B3264898-1741-48A7-904F-74F91AC06427}" name="category " dataDxfId="18"/>
    <tableColumn id="3" xr3:uid="{0AAA449B-F998-4881-8126-8C0D04E8D39C}" name="name " dataDxfId="17"/>
    <tableColumn id="4" xr3:uid="{9B47E962-D217-4448-9FE5-95BDC5796073}" name="total " dataDxfId="16"/>
    <tableColumn id="5" xr3:uid="{2592641A-FACE-46C4-95A6-3400FF5D9ABE}" name="outward" dataDxfId="15"/>
    <tableColumn id="6" xr3:uid="{65AE757A-1061-48D8-92CF-F27571BF1DE9}" name="stock " dataDxfId="14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FAF5E3-5FA0-42FD-990F-653F42253F5D}" name="Table1" displayName="Table1" ref="A1:L15" totalsRowShown="0" headerRowDxfId="13" dataDxfId="12">
  <tableColumns count="12">
    <tableColumn id="1" xr3:uid="{2B32EEF2-41DF-4739-B762-84EAC318A7E0}" name="date " dataDxfId="11"/>
    <tableColumn id="2" xr3:uid="{4D73D5DC-58C9-405D-92C3-B0F97B38D41B}" name="order id " dataDxfId="10"/>
    <tableColumn id="3" xr3:uid="{9818FFF5-8DBB-4A15-8031-8269D7E13CBD}" name="location " dataDxfId="9"/>
    <tableColumn id="4" xr3:uid="{AD833356-955A-4778-A35B-5BCCFE26F891}" name="product " dataDxfId="8"/>
    <tableColumn id="5" xr3:uid="{81E799F0-513A-4050-8330-374EF84437D5}" name="dispatched qty " dataDxfId="7"/>
    <tableColumn id="6" xr3:uid="{780D360A-6927-4C8A-BF6B-B3D35F69F6C5}" name="delivered qty " dataDxfId="6"/>
    <tableColumn id="12" xr3:uid="{6DF98B53-BFA8-42C9-8D6B-535D261F8F70}" name="price per pc" dataDxfId="5"/>
    <tableColumn id="7" xr3:uid="{776661B3-A297-4EE3-88ED-CD3BF342FA1C}" name="status " dataDxfId="4"/>
    <tableColumn id="8" xr3:uid="{CB56150C-45DF-4939-9635-B02F17D12430}" name="transporter " dataDxfId="3"/>
    <tableColumn id="9" xr3:uid="{D03BC0E3-DB35-4659-915B-103F3FA75B8B}" name="amt " dataDxfId="2">
      <calculatedColumnFormula>Table1[[#This Row],[price per pc]]*Table1[[#This Row],[delivered qty ]]</calculatedColumnFormula>
    </tableColumn>
    <tableColumn id="11" xr3:uid="{87472E4A-EBC6-4F6F-BBD4-179F69528BE8}" name="inc gst " dataDxfId="1">
      <calculatedColumnFormula>Table1[[#This Row],[amt ]]*5%</calculatedColumnFormula>
    </tableColumn>
    <tableColumn id="13" xr3:uid="{F824B2C8-9AB8-4E11-9252-B441288CC958}" name="total " dataDxfId="0">
      <calculatedColumnFormula>Table1[[#This Row],[amt ]]+Table1[[#This Row],[inc gst ]]</calculatedColumnFormula>
    </tableColumn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F8917-0493-474D-A471-9B85A447BE51}" name="Table2" displayName="Table2" ref="A1:K20" totalsRowShown="0" headerRowDxfId="34" dataDxfId="33">
  <autoFilter ref="A1:K20" xr:uid="{EEEF8917-0493-474D-A471-9B85A447BE51}"/>
  <tableColumns count="11">
    <tableColumn id="1" xr3:uid="{1D6C8D54-DAF5-4E50-AE98-7309CC0CB04E}" name="date " dataDxfId="32"/>
    <tableColumn id="2" xr3:uid="{666FD731-373F-425A-9856-A588E4D7A090}" name="Name " dataDxfId="31"/>
    <tableColumn id="3" xr3:uid="{5D8C5462-3758-43D5-ACA9-4CF0F74E8586}" name="location " dataDxfId="30"/>
    <tableColumn id="4" xr3:uid="{E93A3BE5-B1F0-4766-AEFB-956EAA1EED0F}" name="product " dataDxfId="29"/>
    <tableColumn id="5" xr3:uid="{B409BD4B-C395-430B-B086-37604D4C2CBA}" name="qty" dataDxfId="28"/>
    <tableColumn id="6" xr3:uid="{A2AEFABC-4B93-4F5B-913C-19B1DE82ED90}" name="price per pc " dataDxfId="27"/>
    <tableColumn id="7" xr3:uid="{C7B32749-EA2D-4408-A6E1-90A85E966669}" name="status " dataDxfId="26"/>
    <tableColumn id="8" xr3:uid="{D8E2AA30-405D-4E27-849B-29930F01D2D7}" name="transport " dataDxfId="25"/>
    <tableColumn id="9" xr3:uid="{492C604F-24E8-40A8-A9D6-837E0D40E734}" name="amt " dataDxfId="24"/>
    <tableColumn id="10" xr3:uid="{C6B487C0-082E-4541-BCB6-C662C35FE9B6}" name="transportation" dataDxfId="23"/>
    <tableColumn id="11" xr3:uid="{8D2DCF4F-F785-443C-AE2B-12D7078DB9D7}" name="total " dataDxfId="22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FB02-97DB-A646-9E99-A3F3A1534E81}">
  <dimension ref="A1:F23"/>
  <sheetViews>
    <sheetView topLeftCell="A2" zoomScale="79" workbookViewId="0">
      <selection activeCell="C23" sqref="C23"/>
    </sheetView>
  </sheetViews>
  <sheetFormatPr defaultColWidth="21.38671875" defaultRowHeight="19.5" customHeight="1" x14ac:dyDescent="0.2"/>
  <cols>
    <col min="1" max="1" width="9.68359375" style="1" customWidth="1"/>
    <col min="2" max="16384" width="21.38671875" style="1"/>
  </cols>
  <sheetData>
    <row r="1" spans="1:6" ht="19.5" customHeight="1" x14ac:dyDescent="0.2">
      <c r="A1" s="1" t="s">
        <v>27</v>
      </c>
      <c r="B1" s="1" t="s">
        <v>28</v>
      </c>
      <c r="C1" s="1" t="s">
        <v>29</v>
      </c>
      <c r="D1" s="1" t="s">
        <v>16</v>
      </c>
      <c r="E1" s="1" t="s">
        <v>30</v>
      </c>
      <c r="F1" s="1" t="s">
        <v>31</v>
      </c>
    </row>
    <row r="2" spans="1:6" ht="19.5" customHeight="1" x14ac:dyDescent="0.2">
      <c r="A2" s="1">
        <v>1</v>
      </c>
      <c r="B2" s="1" t="s">
        <v>32</v>
      </c>
      <c r="C2" s="1" t="s">
        <v>34</v>
      </c>
    </row>
    <row r="3" spans="1:6" ht="19.5" customHeight="1" x14ac:dyDescent="0.2">
      <c r="A3" s="1">
        <v>2</v>
      </c>
      <c r="B3" s="1" t="s">
        <v>32</v>
      </c>
      <c r="C3" s="1" t="s">
        <v>33</v>
      </c>
    </row>
    <row r="4" spans="1:6" ht="19.5" customHeight="1" x14ac:dyDescent="0.2">
      <c r="A4" s="1">
        <v>3</v>
      </c>
      <c r="B4" s="1" t="s">
        <v>32</v>
      </c>
      <c r="C4" s="1" t="s">
        <v>35</v>
      </c>
    </row>
    <row r="5" spans="1:6" ht="19.5" customHeight="1" x14ac:dyDescent="0.2">
      <c r="A5" s="1">
        <v>4</v>
      </c>
      <c r="B5" s="1" t="s">
        <v>32</v>
      </c>
      <c r="C5" s="1" t="s">
        <v>36</v>
      </c>
    </row>
    <row r="7" spans="1:6" ht="19.5" customHeight="1" x14ac:dyDescent="0.2">
      <c r="A7" s="1">
        <v>5</v>
      </c>
      <c r="B7" s="1" t="s">
        <v>32</v>
      </c>
      <c r="C7" s="1" t="s">
        <v>37</v>
      </c>
    </row>
    <row r="8" spans="1:6" ht="19.5" customHeight="1" x14ac:dyDescent="0.2">
      <c r="A8" s="1">
        <v>6</v>
      </c>
      <c r="B8" s="1" t="s">
        <v>32</v>
      </c>
      <c r="C8" s="1" t="s">
        <v>38</v>
      </c>
    </row>
    <row r="9" spans="1:6" ht="19.5" customHeight="1" x14ac:dyDescent="0.2">
      <c r="A9" s="1">
        <v>7</v>
      </c>
      <c r="B9" s="1" t="s">
        <v>32</v>
      </c>
      <c r="C9" s="1" t="s">
        <v>39</v>
      </c>
    </row>
    <row r="10" spans="1:6" ht="19.5" customHeight="1" x14ac:dyDescent="0.2">
      <c r="A10" s="1">
        <v>8</v>
      </c>
      <c r="B10" s="1" t="s">
        <v>32</v>
      </c>
      <c r="C10" s="1" t="s">
        <v>40</v>
      </c>
    </row>
    <row r="11" spans="1:6" ht="19.5" customHeight="1" x14ac:dyDescent="0.2">
      <c r="A11" s="1">
        <v>9</v>
      </c>
      <c r="B11" s="1" t="s">
        <v>32</v>
      </c>
      <c r="C11" s="1" t="s">
        <v>41</v>
      </c>
    </row>
    <row r="13" spans="1:6" ht="19.5" customHeight="1" x14ac:dyDescent="0.2">
      <c r="A13" s="1">
        <v>10</v>
      </c>
      <c r="B13" s="1" t="s">
        <v>42</v>
      </c>
      <c r="C13" s="1" t="s">
        <v>43</v>
      </c>
    </row>
    <row r="14" spans="1:6" ht="19.5" customHeight="1" x14ac:dyDescent="0.2">
      <c r="A14" s="1">
        <v>11</v>
      </c>
      <c r="B14" s="1" t="s">
        <v>42</v>
      </c>
      <c r="C14" s="1" t="s">
        <v>44</v>
      </c>
    </row>
    <row r="15" spans="1:6" ht="19.5" customHeight="1" x14ac:dyDescent="0.2">
      <c r="A15" s="1">
        <v>12</v>
      </c>
      <c r="B15" s="1" t="s">
        <v>42</v>
      </c>
      <c r="C15" s="1" t="s">
        <v>45</v>
      </c>
    </row>
    <row r="16" spans="1:6" ht="19.5" customHeight="1" x14ac:dyDescent="0.2">
      <c r="A16" s="1">
        <v>13</v>
      </c>
      <c r="B16" s="1" t="s">
        <v>42</v>
      </c>
      <c r="C16" s="1" t="s">
        <v>46</v>
      </c>
    </row>
    <row r="18" spans="1:3" ht="19.5" customHeight="1" x14ac:dyDescent="0.2">
      <c r="A18" s="1">
        <v>14</v>
      </c>
      <c r="B18" s="1" t="s">
        <v>47</v>
      </c>
      <c r="C18" s="1" t="s">
        <v>48</v>
      </c>
    </row>
    <row r="19" spans="1:3" ht="19.5" customHeight="1" x14ac:dyDescent="0.2">
      <c r="A19" s="1">
        <v>15</v>
      </c>
      <c r="B19" s="1" t="s">
        <v>47</v>
      </c>
      <c r="C19" s="1" t="s">
        <v>49</v>
      </c>
    </row>
    <row r="20" spans="1:3" ht="19.5" customHeight="1" x14ac:dyDescent="0.2">
      <c r="A20" s="1">
        <v>16</v>
      </c>
      <c r="B20" s="1" t="s">
        <v>47</v>
      </c>
      <c r="C20" s="1" t="s">
        <v>50</v>
      </c>
    </row>
    <row r="21" spans="1:3" ht="19.5" customHeight="1" x14ac:dyDescent="0.2">
      <c r="A21" s="1">
        <v>17</v>
      </c>
      <c r="B21" s="1" t="s">
        <v>47</v>
      </c>
      <c r="C21" s="1" t="s">
        <v>49</v>
      </c>
    </row>
    <row r="23" spans="1:3" ht="19.5" customHeight="1" x14ac:dyDescent="0.2">
      <c r="A23" s="1">
        <v>18</v>
      </c>
      <c r="B23" s="1" t="s">
        <v>47</v>
      </c>
      <c r="C23" s="1" t="s">
        <v>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F6CE-885F-4CE8-9C5D-EBF851CEDC51}">
  <dimension ref="A1:L15"/>
  <sheetViews>
    <sheetView topLeftCell="D1" zoomScale="82" workbookViewId="0">
      <selection activeCell="I24" sqref="I24"/>
    </sheetView>
  </sheetViews>
  <sheetFormatPr defaultColWidth="19.63671875" defaultRowHeight="15" x14ac:dyDescent="0.2"/>
  <cols>
    <col min="1" max="16384" width="19.63671875" style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</v>
      </c>
      <c r="H1" s="1" t="s">
        <v>6</v>
      </c>
      <c r="I1" s="1" t="s">
        <v>7</v>
      </c>
      <c r="J1" s="1" t="s">
        <v>8</v>
      </c>
      <c r="K1" s="1" t="s">
        <v>13</v>
      </c>
      <c r="L1" s="1" t="s">
        <v>16</v>
      </c>
    </row>
    <row r="2" spans="1:12" x14ac:dyDescent="0.2">
      <c r="A2" s="2">
        <v>46104</v>
      </c>
      <c r="C2" s="1" t="s">
        <v>9</v>
      </c>
      <c r="D2" s="1" t="s">
        <v>10</v>
      </c>
      <c r="E2" s="1">
        <v>28</v>
      </c>
      <c r="F2" s="1">
        <v>28</v>
      </c>
      <c r="G2" s="1">
        <v>2250</v>
      </c>
      <c r="H2" s="1" t="s">
        <v>11</v>
      </c>
      <c r="I2" s="1" t="s">
        <v>12</v>
      </c>
      <c r="J2" s="1">
        <f>Table1[[#This Row],[price per pc]]*Table1[[#This Row],[delivered qty ]]</f>
        <v>63000</v>
      </c>
      <c r="K2" s="1">
        <f>Table1[[#This Row],[amt ]]*5%</f>
        <v>3150</v>
      </c>
      <c r="L2" s="1">
        <f>Table1[[#This Row],[amt ]]+Table1[[#This Row],[inc gst ]]</f>
        <v>66150</v>
      </c>
    </row>
    <row r="3" spans="1:12" x14ac:dyDescent="0.2">
      <c r="A3" s="2">
        <v>46104</v>
      </c>
      <c r="C3" s="1" t="s">
        <v>9</v>
      </c>
      <c r="D3" s="1" t="s">
        <v>14</v>
      </c>
      <c r="E3" s="1">
        <v>30</v>
      </c>
      <c r="F3" s="1">
        <v>30</v>
      </c>
      <c r="G3" s="1">
        <v>699</v>
      </c>
      <c r="H3" s="1" t="s">
        <v>11</v>
      </c>
      <c r="I3" s="1" t="s">
        <v>12</v>
      </c>
      <c r="J3" s="1">
        <f>Table1[[#This Row],[price per pc]]*Table1[[#This Row],[delivered qty ]]</f>
        <v>20970</v>
      </c>
      <c r="K3" s="1">
        <f>Table1[[#This Row],[amt ]]*5%</f>
        <v>1048.5</v>
      </c>
      <c r="L3" s="1">
        <f>Table1[[#This Row],[amt ]]+Table1[[#This Row],[inc gst ]]</f>
        <v>22018.5</v>
      </c>
    </row>
    <row r="4" spans="1:12" x14ac:dyDescent="0.2">
      <c r="A4" s="2">
        <v>46104</v>
      </c>
      <c r="C4" s="1" t="s">
        <v>9</v>
      </c>
      <c r="D4" s="1" t="s">
        <v>15</v>
      </c>
      <c r="E4" s="1">
        <v>30</v>
      </c>
      <c r="F4" s="1">
        <v>30</v>
      </c>
      <c r="G4" s="1">
        <v>599</v>
      </c>
      <c r="H4" s="1" t="s">
        <v>11</v>
      </c>
      <c r="I4" s="1" t="s">
        <v>12</v>
      </c>
      <c r="J4" s="1">
        <f>Table1[[#This Row],[price per pc]]*Table1[[#This Row],[delivered qty ]]</f>
        <v>17970</v>
      </c>
      <c r="K4" s="1">
        <f>Table1[[#This Row],[amt ]]*5%</f>
        <v>898.5</v>
      </c>
      <c r="L4" s="1">
        <f>Table1[[#This Row],[amt ]]+Table1[[#This Row],[inc gst ]]</f>
        <v>18868.5</v>
      </c>
    </row>
    <row r="5" spans="1:12" x14ac:dyDescent="0.2">
      <c r="J5" s="1">
        <f>Table1[[#This Row],[price per pc]]*Table1[[#This Row],[delivered qty ]]</f>
        <v>0</v>
      </c>
      <c r="K5" s="1">
        <f>Table1[[#This Row],[amt ]]*5%</f>
        <v>0</v>
      </c>
      <c r="L5" s="1">
        <f>Table1[[#This Row],[amt ]]+Table1[[#This Row],[inc gst ]]</f>
        <v>0</v>
      </c>
    </row>
    <row r="6" spans="1:12" x14ac:dyDescent="0.2">
      <c r="A6" s="2">
        <v>46107</v>
      </c>
      <c r="C6" s="1" t="s">
        <v>9</v>
      </c>
      <c r="D6" s="1" t="s">
        <v>17</v>
      </c>
      <c r="E6" s="1">
        <v>30</v>
      </c>
      <c r="F6" s="1">
        <v>30</v>
      </c>
      <c r="G6" s="1">
        <v>3999</v>
      </c>
      <c r="H6" s="1" t="s">
        <v>18</v>
      </c>
      <c r="I6" s="1" t="s">
        <v>19</v>
      </c>
      <c r="J6" s="1">
        <f>Table1[[#This Row],[price per pc]]*Table1[[#This Row],[delivered qty ]]</f>
        <v>119970</v>
      </c>
      <c r="K6" s="1">
        <f>Table1[[#This Row],[amt ]]*5%</f>
        <v>5998.5</v>
      </c>
      <c r="L6" s="1">
        <f>Table1[[#This Row],[amt ]]+Table1[[#This Row],[inc gst ]]</f>
        <v>125968.5</v>
      </c>
    </row>
    <row r="7" spans="1:12" x14ac:dyDescent="0.2">
      <c r="A7" s="2">
        <v>46107</v>
      </c>
      <c r="C7" s="1" t="s">
        <v>9</v>
      </c>
      <c r="D7" s="1" t="s">
        <v>14</v>
      </c>
      <c r="E7" s="1">
        <v>20</v>
      </c>
      <c r="F7" s="1">
        <v>20</v>
      </c>
      <c r="G7" s="1">
        <v>699</v>
      </c>
      <c r="H7" s="1" t="s">
        <v>18</v>
      </c>
      <c r="I7" s="1" t="s">
        <v>19</v>
      </c>
      <c r="J7" s="1">
        <f>Table1[[#This Row],[price per pc]]*Table1[[#This Row],[delivered qty ]]</f>
        <v>13980</v>
      </c>
      <c r="K7" s="1">
        <f>Table1[[#This Row],[amt ]]*5%</f>
        <v>699</v>
      </c>
      <c r="L7" s="1">
        <f>Table1[[#This Row],[amt ]]+Table1[[#This Row],[inc gst ]]</f>
        <v>14679</v>
      </c>
    </row>
    <row r="8" spans="1:12" x14ac:dyDescent="0.2">
      <c r="J8" s="1">
        <f>Table1[[#This Row],[price per pc]]*Table1[[#This Row],[delivered qty ]]</f>
        <v>0</v>
      </c>
      <c r="K8" s="1">
        <f>Table1[[#This Row],[amt ]]*5%</f>
        <v>0</v>
      </c>
      <c r="L8" s="1">
        <f>Table1[[#This Row],[amt ]]+Table1[[#This Row],[inc gst ]]</f>
        <v>0</v>
      </c>
    </row>
    <row r="9" spans="1:12" x14ac:dyDescent="0.2">
      <c r="J9" s="1">
        <f>Table1[[#This Row],[price per pc]]*Table1[[#This Row],[delivered qty ]]</f>
        <v>0</v>
      </c>
      <c r="K9" s="1">
        <f>Table1[[#This Row],[amt ]]*5%</f>
        <v>0</v>
      </c>
      <c r="L9" s="1">
        <f>Table1[[#This Row],[amt ]]+Table1[[#This Row],[inc gst ]]</f>
        <v>0</v>
      </c>
    </row>
    <row r="10" spans="1:12" x14ac:dyDescent="0.2">
      <c r="J10" s="1">
        <f>Table1[[#This Row],[price per pc]]*Table1[[#This Row],[delivered qty ]]</f>
        <v>0</v>
      </c>
      <c r="K10" s="1">
        <f>Table1[[#This Row],[amt ]]*5%</f>
        <v>0</v>
      </c>
      <c r="L10" s="1">
        <f>Table1[[#This Row],[amt ]]+Table1[[#This Row],[inc gst ]]</f>
        <v>0</v>
      </c>
    </row>
    <row r="11" spans="1:12" x14ac:dyDescent="0.2">
      <c r="J11" s="1">
        <f>Table1[[#This Row],[price per pc]]*Table1[[#This Row],[delivered qty ]]</f>
        <v>0</v>
      </c>
      <c r="K11" s="1">
        <f>Table1[[#This Row],[amt ]]*5%</f>
        <v>0</v>
      </c>
      <c r="L11" s="1">
        <f>Table1[[#This Row],[amt ]]+Table1[[#This Row],[inc gst ]]</f>
        <v>0</v>
      </c>
    </row>
    <row r="12" spans="1:12" x14ac:dyDescent="0.2">
      <c r="J12" s="1">
        <f>Table1[[#This Row],[price per pc]]*Table1[[#This Row],[delivered qty ]]</f>
        <v>0</v>
      </c>
      <c r="K12" s="1">
        <f>Table1[[#This Row],[amt ]]*5%</f>
        <v>0</v>
      </c>
      <c r="L12" s="1">
        <f>Table1[[#This Row],[amt ]]+Table1[[#This Row],[inc gst ]]</f>
        <v>0</v>
      </c>
    </row>
    <row r="13" spans="1:12" x14ac:dyDescent="0.2">
      <c r="J13" s="1">
        <f>Table1[[#This Row],[price per pc]]*Table1[[#This Row],[delivered qty ]]</f>
        <v>0</v>
      </c>
      <c r="K13" s="1">
        <f>Table1[[#This Row],[amt ]]*5%</f>
        <v>0</v>
      </c>
      <c r="L13" s="1">
        <f>Table1[[#This Row],[amt ]]+Table1[[#This Row],[inc gst ]]</f>
        <v>0</v>
      </c>
    </row>
    <row r="14" spans="1:12" x14ac:dyDescent="0.2">
      <c r="J14" s="1">
        <f>Table1[[#This Row],[price per pc]]*Table1[[#This Row],[delivered qty ]]</f>
        <v>0</v>
      </c>
      <c r="K14" s="1">
        <f>Table1[[#This Row],[amt ]]*5%</f>
        <v>0</v>
      </c>
      <c r="L14" s="1">
        <f>Table1[[#This Row],[amt ]]+Table1[[#This Row],[inc gst ]]</f>
        <v>0</v>
      </c>
    </row>
    <row r="15" spans="1:12" x14ac:dyDescent="0.2">
      <c r="J15" s="1">
        <f>Table1[[#This Row],[price per pc]]*Table1[[#This Row],[delivered qty ]]</f>
        <v>0</v>
      </c>
      <c r="K15" s="1">
        <f>Table1[[#This Row],[amt ]]*5%</f>
        <v>0</v>
      </c>
      <c r="L15" s="1">
        <f>Table1[[#This Row],[amt ]]+Table1[[#This Row],[inc gst ]]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33291-F9E2-49D0-8867-926E48BFD536}">
  <dimension ref="A1:M8"/>
  <sheetViews>
    <sheetView tabSelected="1" zoomScale="85" workbookViewId="0">
      <selection activeCell="G25" sqref="G25"/>
    </sheetView>
  </sheetViews>
  <sheetFormatPr defaultColWidth="16.140625" defaultRowHeight="15" x14ac:dyDescent="0.2"/>
  <cols>
    <col min="1" max="9" width="16.140625" style="1"/>
    <col min="10" max="10" width="18.0234375" style="1" customWidth="1"/>
    <col min="11" max="16384" width="16.140625" style="1"/>
  </cols>
  <sheetData>
    <row r="1" spans="1:13" x14ac:dyDescent="0.2">
      <c r="A1" s="1" t="s">
        <v>0</v>
      </c>
      <c r="B1" s="1" t="s">
        <v>26</v>
      </c>
      <c r="C1" s="1" t="s">
        <v>2</v>
      </c>
      <c r="D1" s="1" t="s">
        <v>3</v>
      </c>
      <c r="E1" s="1" t="s">
        <v>21</v>
      </c>
      <c r="F1" s="1" t="s">
        <v>23</v>
      </c>
      <c r="G1" s="1" t="s">
        <v>6</v>
      </c>
      <c r="H1" s="1" t="s">
        <v>24</v>
      </c>
      <c r="I1" s="1" t="s">
        <v>8</v>
      </c>
      <c r="J1" s="1" t="s">
        <v>25</v>
      </c>
      <c r="K1" s="1" t="s">
        <v>16</v>
      </c>
    </row>
    <row r="8" spans="1:13" x14ac:dyDescent="0.2">
      <c r="M8" s="1" t="s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4F2E-3DE5-43CE-980B-C87D65135754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 </vt:lpstr>
      <vt:lpstr>Inward</vt:lpstr>
      <vt:lpstr>outward</vt:lpstr>
      <vt:lpstr>influencer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manraj singh</dc:creator>
  <cp:lastModifiedBy>manraj singh</cp:lastModifiedBy>
  <dcterms:created xsi:type="dcterms:W3CDTF">2026-04-01T10:12:17Z</dcterms:created>
  <dcterms:modified xsi:type="dcterms:W3CDTF">2026-04-02T12:22:25Z</dcterms:modified>
</cp:coreProperties>
</file>
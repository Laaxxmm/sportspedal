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j\Desktop\"/>
    </mc:Choice>
  </mc:AlternateContent>
  <xr:revisionPtr revIDLastSave="0" documentId="13_ncr:1_{A573C79B-8D74-4106-BA46-0B3233A96F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 Received" sheetId="2" r:id="rId1"/>
    <sheet name="Inventory" sheetId="6" r:id="rId2"/>
    <sheet name="sportspedal " sheetId="1" r:id="rId3"/>
    <sheet name="customer Details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6" l="1"/>
  <c r="D9" i="6"/>
  <c r="D3" i="6"/>
  <c r="D4" i="6"/>
  <c r="D5" i="6"/>
  <c r="D6" i="6"/>
  <c r="D7" i="6"/>
  <c r="D10" i="6"/>
  <c r="D11" i="6"/>
  <c r="D12" i="6"/>
  <c r="D13" i="6"/>
  <c r="D2" i="6"/>
  <c r="I3" i="2"/>
  <c r="D2" i="1"/>
</calcChain>
</file>

<file path=xl/sharedStrings.xml><?xml version="1.0" encoding="utf-8"?>
<sst xmlns="http://schemas.openxmlformats.org/spreadsheetml/2006/main" count="86" uniqueCount="71">
  <si>
    <t>Velo kid</t>
  </si>
  <si>
    <t>Product</t>
  </si>
  <si>
    <t>Bag</t>
  </si>
  <si>
    <t>Velo kid Blue</t>
  </si>
  <si>
    <t>Velo kid Pink</t>
  </si>
  <si>
    <t>Helmet Pebble pink and Blue</t>
  </si>
  <si>
    <t>Blaze Bag</t>
  </si>
  <si>
    <t>Total Item</t>
  </si>
  <si>
    <t>Rate</t>
  </si>
  <si>
    <t>IGST%</t>
  </si>
  <si>
    <t xml:space="preserve">Total </t>
  </si>
  <si>
    <t>First Order</t>
  </si>
  <si>
    <t>Twister</t>
  </si>
  <si>
    <t>Glider</t>
  </si>
  <si>
    <t>Vortex</t>
  </si>
  <si>
    <t>Pebble</t>
  </si>
  <si>
    <t>Brutal</t>
  </si>
  <si>
    <t>Petron</t>
  </si>
  <si>
    <t>Kids Bag</t>
  </si>
  <si>
    <t>Boys Bag</t>
  </si>
  <si>
    <t>Total</t>
  </si>
  <si>
    <t>Per unit prices</t>
  </si>
  <si>
    <t>Qnty</t>
  </si>
  <si>
    <t xml:space="preserve">Total pay </t>
  </si>
  <si>
    <t>Second Order</t>
  </si>
  <si>
    <t>pebble</t>
  </si>
  <si>
    <t>Tax</t>
  </si>
  <si>
    <t xml:space="preserve"> Tax</t>
  </si>
  <si>
    <t>Total  Pay to True spin</t>
  </si>
  <si>
    <t>Frrebees</t>
  </si>
  <si>
    <t>pratap</t>
  </si>
  <si>
    <t>Customer</t>
  </si>
  <si>
    <t>Velokid</t>
  </si>
  <si>
    <t>Guards</t>
  </si>
  <si>
    <t>Helmet TS</t>
  </si>
  <si>
    <t>Helmet Decathlon</t>
  </si>
  <si>
    <t>Corier charge</t>
  </si>
  <si>
    <t>Ramya Raj</t>
  </si>
  <si>
    <t>Agnes solamina</t>
  </si>
  <si>
    <t>Gowtham Vellore</t>
  </si>
  <si>
    <t>manjunath</t>
  </si>
  <si>
    <t>swetha</t>
  </si>
  <si>
    <t>jitendar</t>
  </si>
  <si>
    <t>Dsouzuo</t>
  </si>
  <si>
    <t>yasmeen</t>
  </si>
  <si>
    <t>Kavitha</t>
  </si>
  <si>
    <t xml:space="preserve">Gowtham </t>
  </si>
  <si>
    <t>Gubuchu play</t>
  </si>
  <si>
    <t xml:space="preserve">new girlpink </t>
  </si>
  <si>
    <t>Free bees</t>
  </si>
  <si>
    <t>Pratap</t>
  </si>
  <si>
    <t>1 velo</t>
  </si>
  <si>
    <t>2twister</t>
  </si>
  <si>
    <t>madhav</t>
  </si>
  <si>
    <t>1 bag</t>
  </si>
  <si>
    <t xml:space="preserve"> </t>
  </si>
  <si>
    <t>Velo Blue Small</t>
  </si>
  <si>
    <t>Velo Pink small</t>
  </si>
  <si>
    <t>velo Blue Medium</t>
  </si>
  <si>
    <t>Velo Pink medium</t>
  </si>
  <si>
    <t>Helmet Pebble</t>
  </si>
  <si>
    <t>Twister Blue small</t>
  </si>
  <si>
    <t>Twister Blue Large</t>
  </si>
  <si>
    <t>Twister Pink  small</t>
  </si>
  <si>
    <t>Twister Pink  Medium</t>
  </si>
  <si>
    <t>Twister Pink Large</t>
  </si>
  <si>
    <t>Inward</t>
  </si>
  <si>
    <t>outward</t>
  </si>
  <si>
    <t>stock</t>
  </si>
  <si>
    <t>Twister Blue  Medium</t>
  </si>
  <si>
    <t>2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</si>
</sst>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0" borderId="1" xfId="1" applyBorder="1"/>
    <xf numFmtId="0" fontId="0" fillId="4" borderId="1" xfId="0" applyFill="1" applyBorder="1"/>
    <xf numFmtId="0" fontId="0" fillId="5" borderId="1" xfId="0" applyFill="1" applyBorder="1"/>
    <xf numFmtId="0" fontId="0" fillId="0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9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987C-F19D-46F7-B479-C6F129FE04D7}">
  <dimension ref="A1:I15"/>
  <sheetViews>
    <sheetView tabSelected="1" workbookViewId="0">
      <selection activeCell="G14" sqref="G14"/>
    </sheetView>
  </sheetViews>
  <sheetFormatPr defaultRowHeight="14.4" x14ac:dyDescent="0.3"/>
  <cols>
    <col min="1" max="1" width="24.33203125" bestFit="1" customWidth="1"/>
    <col min="2" max="2" width="10.109375" bestFit="1" customWidth="1"/>
    <col min="3" max="4" width="10.109375" customWidth="1"/>
    <col min="5" max="5" width="12" bestFit="1" customWidth="1"/>
    <col min="8" max="8" width="19.21875" bestFit="1" customWidth="1"/>
  </cols>
  <sheetData>
    <row r="1" spans="1:9" x14ac:dyDescent="0.3">
      <c r="A1" s="4" t="s">
        <v>11</v>
      </c>
      <c r="B1" s="4"/>
      <c r="C1" s="4"/>
      <c r="D1" s="4"/>
      <c r="E1" s="4"/>
    </row>
    <row r="2" spans="1:9" x14ac:dyDescent="0.3">
      <c r="A2" s="2" t="s">
        <v>1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9" x14ac:dyDescent="0.3">
      <c r="A3" s="1" t="s">
        <v>3</v>
      </c>
      <c r="B3" s="1">
        <v>14</v>
      </c>
      <c r="C3" s="1">
        <v>2248.5</v>
      </c>
      <c r="D3" s="1">
        <v>5</v>
      </c>
      <c r="E3" s="1">
        <v>31482.5</v>
      </c>
      <c r="H3" s="1" t="s">
        <v>28</v>
      </c>
      <c r="I3" s="1">
        <f>(E8+E15)</f>
        <v>247788</v>
      </c>
    </row>
    <row r="4" spans="1:9" x14ac:dyDescent="0.3">
      <c r="A4" s="1" t="s">
        <v>4</v>
      </c>
      <c r="B4" s="1">
        <v>14</v>
      </c>
      <c r="C4" s="1">
        <v>2248.5</v>
      </c>
      <c r="D4" s="1">
        <v>5</v>
      </c>
      <c r="E4" s="1">
        <v>31482.5</v>
      </c>
    </row>
    <row r="5" spans="1:9" x14ac:dyDescent="0.3">
      <c r="A5" s="1" t="s">
        <v>6</v>
      </c>
      <c r="B5" s="1">
        <v>30</v>
      </c>
      <c r="C5" s="1">
        <v>700.33</v>
      </c>
      <c r="D5" s="1">
        <v>5</v>
      </c>
      <c r="E5" s="1">
        <v>21009.9</v>
      </c>
    </row>
    <row r="6" spans="1:9" x14ac:dyDescent="0.3">
      <c r="A6" s="1" t="s">
        <v>5</v>
      </c>
      <c r="B6" s="1">
        <v>30</v>
      </c>
      <c r="C6" s="1">
        <v>602.1</v>
      </c>
      <c r="D6" s="1">
        <v>5</v>
      </c>
      <c r="E6" s="1">
        <v>18063</v>
      </c>
    </row>
    <row r="7" spans="1:9" x14ac:dyDescent="0.3">
      <c r="A7" s="1"/>
      <c r="B7" s="1"/>
      <c r="C7" s="1"/>
      <c r="D7" s="1" t="s">
        <v>27</v>
      </c>
      <c r="E7" s="1">
        <v>5101.8999999999996</v>
      </c>
    </row>
    <row r="8" spans="1:9" x14ac:dyDescent="0.3">
      <c r="A8" s="1"/>
      <c r="B8" s="1"/>
      <c r="C8" s="3" t="s">
        <v>20</v>
      </c>
      <c r="D8" s="1"/>
      <c r="E8" s="1">
        <v>107140</v>
      </c>
      <c r="I8" t="s">
        <v>55</v>
      </c>
    </row>
    <row r="10" spans="1:9" x14ac:dyDescent="0.3">
      <c r="A10" s="5" t="s">
        <v>24</v>
      </c>
      <c r="B10" s="6"/>
      <c r="C10" s="6"/>
      <c r="D10" s="6"/>
      <c r="E10" s="7"/>
    </row>
    <row r="11" spans="1:9" x14ac:dyDescent="0.3">
      <c r="A11" s="2" t="s">
        <v>1</v>
      </c>
      <c r="B11" s="2" t="s">
        <v>7</v>
      </c>
      <c r="C11" s="2" t="s">
        <v>8</v>
      </c>
      <c r="D11" s="2" t="s">
        <v>9</v>
      </c>
      <c r="E11" s="2" t="s">
        <v>10</v>
      </c>
    </row>
    <row r="12" spans="1:9" x14ac:dyDescent="0.3">
      <c r="A12" s="1" t="s">
        <v>12</v>
      </c>
      <c r="B12" s="1">
        <v>30</v>
      </c>
      <c r="C12" s="1">
        <v>3999</v>
      </c>
      <c r="D12" s="1">
        <v>5</v>
      </c>
      <c r="E12" s="1">
        <v>119970</v>
      </c>
    </row>
    <row r="13" spans="1:9" x14ac:dyDescent="0.3">
      <c r="A13" s="1" t="s">
        <v>25</v>
      </c>
      <c r="B13" s="1">
        <v>20</v>
      </c>
      <c r="C13" s="1">
        <v>699</v>
      </c>
      <c r="D13" s="1">
        <v>5</v>
      </c>
      <c r="E13" s="1">
        <v>13980</v>
      </c>
    </row>
    <row r="14" spans="1:9" x14ac:dyDescent="0.3">
      <c r="A14" s="1"/>
      <c r="B14" s="1"/>
      <c r="C14" s="1"/>
      <c r="D14" s="1" t="s">
        <v>26</v>
      </c>
      <c r="E14" s="1">
        <v>6697.5</v>
      </c>
    </row>
    <row r="15" spans="1:9" x14ac:dyDescent="0.3">
      <c r="A15" s="1"/>
      <c r="B15" s="1"/>
      <c r="C15" s="2" t="s">
        <v>20</v>
      </c>
      <c r="D15" s="1"/>
      <c r="E15" s="1">
        <v>140648</v>
      </c>
    </row>
  </sheetData>
  <mergeCells count="2">
    <mergeCell ref="A1:E1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4AF0-C52A-491F-8B43-398B3C7BC2F0}">
  <dimension ref="A1:D15"/>
  <sheetViews>
    <sheetView workbookViewId="0">
      <selection activeCell="H7" sqref="H7"/>
    </sheetView>
  </sheetViews>
  <sheetFormatPr defaultRowHeight="14.4" x14ac:dyDescent="0.3"/>
  <cols>
    <col min="1" max="1" width="18.5546875" bestFit="1" customWidth="1"/>
    <col min="2" max="2" width="12.109375" bestFit="1" customWidth="1"/>
  </cols>
  <sheetData>
    <row r="1" spans="1:4" x14ac:dyDescent="0.3">
      <c r="A1" s="2" t="s">
        <v>1</v>
      </c>
      <c r="B1" s="2" t="s">
        <v>66</v>
      </c>
      <c r="C1" s="2" t="s">
        <v>67</v>
      </c>
      <c r="D1" s="2" t="s">
        <v>68</v>
      </c>
    </row>
    <row r="2" spans="1:4" x14ac:dyDescent="0.3">
      <c r="A2" s="9" t="s">
        <v>56</v>
      </c>
      <c r="B2" s="1">
        <v>7</v>
      </c>
      <c r="C2" s="1">
        <v>3</v>
      </c>
      <c r="D2" s="1">
        <f>(B2-C2)</f>
        <v>4</v>
      </c>
    </row>
    <row r="3" spans="1:4" x14ac:dyDescent="0.3">
      <c r="A3" s="10" t="s">
        <v>57</v>
      </c>
      <c r="B3" s="1">
        <v>7</v>
      </c>
      <c r="C3" s="1">
        <v>1</v>
      </c>
      <c r="D3" s="1">
        <f t="shared" ref="D3:D13" si="0">(B3-C3)</f>
        <v>6</v>
      </c>
    </row>
    <row r="4" spans="1:4" x14ac:dyDescent="0.3">
      <c r="A4" s="9" t="s">
        <v>58</v>
      </c>
      <c r="B4" s="1">
        <v>7</v>
      </c>
      <c r="C4" s="1">
        <v>5</v>
      </c>
      <c r="D4" s="1">
        <f t="shared" si="0"/>
        <v>2</v>
      </c>
    </row>
    <row r="5" spans="1:4" x14ac:dyDescent="0.3">
      <c r="A5" s="10" t="s">
        <v>59</v>
      </c>
      <c r="B5" s="1">
        <v>7</v>
      </c>
      <c r="C5" s="1">
        <v>4</v>
      </c>
      <c r="D5" s="1">
        <f t="shared" si="0"/>
        <v>3</v>
      </c>
    </row>
    <row r="6" spans="1:4" x14ac:dyDescent="0.3">
      <c r="A6" s="9" t="s">
        <v>61</v>
      </c>
      <c r="B6" s="1">
        <v>6</v>
      </c>
      <c r="C6" s="1">
        <v>1</v>
      </c>
      <c r="D6" s="1">
        <f t="shared" si="0"/>
        <v>5</v>
      </c>
    </row>
    <row r="7" spans="1:4" x14ac:dyDescent="0.3">
      <c r="A7" s="10" t="s">
        <v>63</v>
      </c>
      <c r="B7" s="1">
        <v>4</v>
      </c>
      <c r="C7" s="1">
        <v>0</v>
      </c>
      <c r="D7" s="1">
        <f t="shared" si="0"/>
        <v>4</v>
      </c>
    </row>
    <row r="8" spans="1:4" x14ac:dyDescent="0.3">
      <c r="A8" s="9" t="s">
        <v>69</v>
      </c>
      <c r="B8" s="1">
        <v>5</v>
      </c>
      <c r="C8" s="1">
        <v>3</v>
      </c>
      <c r="D8" s="1">
        <f t="shared" si="0"/>
        <v>2</v>
      </c>
    </row>
    <row r="9" spans="1:4" x14ac:dyDescent="0.3">
      <c r="A9" s="10" t="s">
        <v>64</v>
      </c>
      <c r="B9" s="1">
        <v>5</v>
      </c>
      <c r="C9" s="1">
        <v>1</v>
      </c>
      <c r="D9" s="1">
        <f t="shared" si="0"/>
        <v>4</v>
      </c>
    </row>
    <row r="10" spans="1:4" x14ac:dyDescent="0.3">
      <c r="A10" s="9" t="s">
        <v>62</v>
      </c>
      <c r="B10" s="1">
        <v>10</v>
      </c>
      <c r="C10" s="1">
        <v>1</v>
      </c>
      <c r="D10" s="1">
        <f t="shared" si="0"/>
        <v>9</v>
      </c>
    </row>
    <row r="11" spans="1:4" x14ac:dyDescent="0.3">
      <c r="A11" s="10" t="s">
        <v>65</v>
      </c>
      <c r="B11" s="1">
        <v>0</v>
      </c>
      <c r="C11" s="1">
        <v>0</v>
      </c>
      <c r="D11" s="1">
        <f t="shared" si="0"/>
        <v>0</v>
      </c>
    </row>
    <row r="12" spans="1:4" x14ac:dyDescent="0.3">
      <c r="A12" s="1" t="s">
        <v>60</v>
      </c>
      <c r="B12" s="1">
        <v>50</v>
      </c>
      <c r="C12" s="1">
        <v>5</v>
      </c>
      <c r="D12" s="1">
        <f t="shared" si="0"/>
        <v>45</v>
      </c>
    </row>
    <row r="13" spans="1:4" x14ac:dyDescent="0.3">
      <c r="A13" s="1" t="s">
        <v>2</v>
      </c>
      <c r="B13" s="1">
        <v>30</v>
      </c>
      <c r="C13" s="1">
        <v>14</v>
      </c>
      <c r="D13" s="1">
        <f t="shared" si="0"/>
        <v>16</v>
      </c>
    </row>
    <row r="15" spans="1:4" x14ac:dyDescent="0.3">
      <c r="A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C14" sqref="C14"/>
    </sheetView>
  </sheetViews>
  <sheetFormatPr defaultRowHeight="14.4" x14ac:dyDescent="0.3"/>
  <cols>
    <col min="1" max="2" width="15.21875" bestFit="1" customWidth="1"/>
    <col min="3" max="4" width="20" bestFit="1" customWidth="1"/>
  </cols>
  <sheetData>
    <row r="1" spans="1:4" x14ac:dyDescent="0.3">
      <c r="A1" s="2" t="s">
        <v>1</v>
      </c>
      <c r="B1" s="2" t="s">
        <v>21</v>
      </c>
      <c r="C1" s="2" t="s">
        <v>22</v>
      </c>
      <c r="D1" s="1" t="s">
        <v>23</v>
      </c>
    </row>
    <row r="2" spans="1:4" x14ac:dyDescent="0.3">
      <c r="A2" s="1" t="s">
        <v>0</v>
      </c>
      <c r="B2" s="1">
        <v>2299</v>
      </c>
      <c r="C2" s="1">
        <v>12</v>
      </c>
      <c r="D2" s="1">
        <f>(B2*C2)</f>
        <v>27588</v>
      </c>
    </row>
    <row r="3" spans="1:4" x14ac:dyDescent="0.3">
      <c r="A3" s="1" t="s">
        <v>12</v>
      </c>
      <c r="B3" s="1">
        <v>4199</v>
      </c>
      <c r="C3" s="1">
        <v>4</v>
      </c>
      <c r="D3" s="1"/>
    </row>
    <row r="4" spans="1:4" x14ac:dyDescent="0.3">
      <c r="A4" s="1" t="s">
        <v>13</v>
      </c>
      <c r="B4" s="1">
        <v>5399</v>
      </c>
      <c r="C4" s="1"/>
      <c r="D4" s="1"/>
    </row>
    <row r="5" spans="1:4" x14ac:dyDescent="0.3">
      <c r="A5" s="1" t="s">
        <v>15</v>
      </c>
      <c r="B5" s="1">
        <v>649</v>
      </c>
      <c r="C5" s="1"/>
      <c r="D5" s="1"/>
    </row>
    <row r="6" spans="1:4" x14ac:dyDescent="0.3">
      <c r="A6" s="1" t="s">
        <v>14</v>
      </c>
      <c r="B6" s="1">
        <v>749</v>
      </c>
      <c r="C6" s="1"/>
      <c r="D6" s="1"/>
    </row>
    <row r="7" spans="1:4" x14ac:dyDescent="0.3">
      <c r="A7" s="1" t="s">
        <v>17</v>
      </c>
      <c r="B7" s="1">
        <v>699</v>
      </c>
      <c r="C7" s="1"/>
      <c r="D7" s="1"/>
    </row>
    <row r="8" spans="1:4" x14ac:dyDescent="0.3">
      <c r="A8" s="1" t="s">
        <v>16</v>
      </c>
      <c r="B8" s="1">
        <v>749</v>
      </c>
      <c r="C8" s="1"/>
      <c r="D8" s="1"/>
    </row>
    <row r="9" spans="1:4" x14ac:dyDescent="0.3">
      <c r="A9" s="1" t="s">
        <v>18</v>
      </c>
      <c r="B9" s="1">
        <v>399</v>
      </c>
      <c r="C9" s="1"/>
      <c r="D9" s="1"/>
    </row>
    <row r="10" spans="1:4" x14ac:dyDescent="0.3">
      <c r="A10" s="1" t="s">
        <v>19</v>
      </c>
      <c r="B10" s="1">
        <v>499</v>
      </c>
      <c r="C10" s="1">
        <v>12</v>
      </c>
      <c r="D10" s="1"/>
    </row>
    <row r="14" spans="1:4" x14ac:dyDescent="0.3">
      <c r="A14" t="s">
        <v>29</v>
      </c>
      <c r="B1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B7A2-B301-4357-BE9D-EC7AB83C9B1F}">
  <dimension ref="A1:M17"/>
  <sheetViews>
    <sheetView workbookViewId="0">
      <selection activeCell="H4" sqref="H4"/>
    </sheetView>
  </sheetViews>
  <sheetFormatPr defaultRowHeight="14.4" x14ac:dyDescent="0.3"/>
  <cols>
    <col min="1" max="1" width="15.33203125" bestFit="1" customWidth="1"/>
    <col min="2" max="2" width="7" bestFit="1" customWidth="1"/>
    <col min="5" max="5" width="9.21875" bestFit="1" customWidth="1"/>
    <col min="6" max="6" width="15.77734375" bestFit="1" customWidth="1"/>
    <col min="8" max="8" width="11.88671875" bestFit="1" customWidth="1"/>
    <col min="11" max="11" width="8.77734375" bestFit="1" customWidth="1"/>
  </cols>
  <sheetData>
    <row r="1" spans="1:13" x14ac:dyDescent="0.3">
      <c r="A1" s="1" t="s">
        <v>31</v>
      </c>
      <c r="B1" s="1" t="s">
        <v>32</v>
      </c>
      <c r="C1" s="1" t="s">
        <v>12</v>
      </c>
      <c r="D1" s="1" t="s">
        <v>33</v>
      </c>
      <c r="E1" s="1" t="s">
        <v>34</v>
      </c>
      <c r="F1" s="1" t="s">
        <v>35</v>
      </c>
      <c r="G1" s="1" t="s">
        <v>2</v>
      </c>
      <c r="H1" s="1" t="s">
        <v>36</v>
      </c>
      <c r="K1" s="1" t="s">
        <v>49</v>
      </c>
      <c r="L1" s="1"/>
      <c r="M1" s="1"/>
    </row>
    <row r="2" spans="1:13" x14ac:dyDescent="0.3">
      <c r="A2" s="1" t="s">
        <v>37</v>
      </c>
      <c r="B2" s="1">
        <v>3000</v>
      </c>
      <c r="C2" s="1"/>
      <c r="D2" s="1">
        <v>1199</v>
      </c>
      <c r="E2" s="1"/>
      <c r="F2" s="1"/>
      <c r="G2" s="8">
        <v>600</v>
      </c>
      <c r="H2" s="1"/>
      <c r="K2" s="2" t="s">
        <v>50</v>
      </c>
      <c r="L2" s="2" t="s">
        <v>51</v>
      </c>
      <c r="M2" s="2" t="s">
        <v>52</v>
      </c>
    </row>
    <row r="3" spans="1:13" x14ac:dyDescent="0.3">
      <c r="A3" s="1" t="s">
        <v>38</v>
      </c>
      <c r="B3" s="1">
        <v>3002</v>
      </c>
      <c r="C3" s="1"/>
      <c r="D3" s="1">
        <v>1199</v>
      </c>
      <c r="E3" s="1"/>
      <c r="F3" s="1">
        <v>999</v>
      </c>
      <c r="G3" s="1">
        <v>600</v>
      </c>
      <c r="H3" s="1"/>
      <c r="K3" s="2" t="s">
        <v>53</v>
      </c>
      <c r="L3" s="2" t="s">
        <v>54</v>
      </c>
      <c r="M3" s="2"/>
    </row>
    <row r="4" spans="1:13" x14ac:dyDescent="0.3">
      <c r="A4" s="2" t="s">
        <v>39</v>
      </c>
      <c r="B4" s="2">
        <v>2299</v>
      </c>
      <c r="C4" s="2"/>
      <c r="D4" s="2"/>
      <c r="E4" s="2"/>
      <c r="F4" s="2"/>
      <c r="G4" s="2">
        <v>499</v>
      </c>
      <c r="H4" s="1"/>
    </row>
    <row r="5" spans="1:13" x14ac:dyDescent="0.3">
      <c r="A5" s="1" t="s">
        <v>40</v>
      </c>
      <c r="B5" s="1"/>
      <c r="C5" s="1">
        <v>4500</v>
      </c>
      <c r="D5" s="1"/>
      <c r="E5" s="1">
        <v>1500</v>
      </c>
      <c r="F5" s="1"/>
      <c r="G5" s="1"/>
      <c r="H5" s="1"/>
    </row>
    <row r="6" spans="1:13" x14ac:dyDescent="0.3">
      <c r="A6" s="1" t="s">
        <v>41</v>
      </c>
      <c r="B6" s="1">
        <v>3002</v>
      </c>
      <c r="C6" s="1"/>
      <c r="D6" s="1">
        <v>1199</v>
      </c>
      <c r="E6" s="1"/>
      <c r="F6" s="1">
        <v>999</v>
      </c>
      <c r="G6" s="1">
        <v>600</v>
      </c>
      <c r="H6" s="1"/>
    </row>
    <row r="7" spans="1:13" x14ac:dyDescent="0.3">
      <c r="A7" s="1" t="s">
        <v>42</v>
      </c>
      <c r="B7" s="1">
        <v>2902</v>
      </c>
      <c r="C7" s="1"/>
      <c r="D7" s="1">
        <v>1199</v>
      </c>
      <c r="E7" s="1"/>
      <c r="F7" s="1">
        <v>999</v>
      </c>
      <c r="G7" s="1">
        <v>600</v>
      </c>
      <c r="H7" s="1"/>
    </row>
    <row r="8" spans="1:13" x14ac:dyDescent="0.3">
      <c r="A8" s="1" t="s">
        <v>42</v>
      </c>
      <c r="B8" s="1">
        <v>2902</v>
      </c>
      <c r="C8" s="1"/>
      <c r="D8" s="1">
        <v>1199</v>
      </c>
      <c r="E8" s="1"/>
      <c r="F8" s="1">
        <v>999</v>
      </c>
      <c r="G8" s="1">
        <v>600</v>
      </c>
      <c r="H8" s="1"/>
    </row>
    <row r="9" spans="1:13" x14ac:dyDescent="0.3">
      <c r="A9" s="1" t="s">
        <v>43</v>
      </c>
      <c r="B9" s="1"/>
      <c r="C9" s="1">
        <v>5402</v>
      </c>
      <c r="D9" s="1">
        <v>1799</v>
      </c>
      <c r="E9" s="1">
        <v>999</v>
      </c>
      <c r="F9" s="1"/>
      <c r="G9" s="1">
        <v>600</v>
      </c>
      <c r="H9" s="1"/>
    </row>
    <row r="10" spans="1:13" x14ac:dyDescent="0.3">
      <c r="A10" s="1" t="s">
        <v>44</v>
      </c>
      <c r="B10" s="1">
        <v>3002</v>
      </c>
      <c r="C10" s="1"/>
      <c r="D10" s="1">
        <v>1199</v>
      </c>
      <c r="E10" s="1"/>
      <c r="F10" s="1">
        <v>999</v>
      </c>
      <c r="G10" s="1">
        <v>600</v>
      </c>
      <c r="H10" s="1"/>
    </row>
    <row r="11" spans="1:13" x14ac:dyDescent="0.3">
      <c r="A11" s="1" t="s">
        <v>44</v>
      </c>
      <c r="B11" s="1"/>
      <c r="C11" s="1">
        <v>5402</v>
      </c>
      <c r="D11" s="1">
        <v>1799</v>
      </c>
      <c r="E11" s="1">
        <v>999</v>
      </c>
      <c r="F11" s="1"/>
      <c r="G11" s="1">
        <v>600</v>
      </c>
      <c r="H11" s="1"/>
    </row>
    <row r="12" spans="1:13" x14ac:dyDescent="0.3">
      <c r="A12" s="1" t="s">
        <v>45</v>
      </c>
      <c r="B12" s="1">
        <v>3002</v>
      </c>
      <c r="C12" s="1"/>
      <c r="D12" s="1">
        <v>1199</v>
      </c>
      <c r="E12" s="1"/>
      <c r="F12" s="1">
        <v>999</v>
      </c>
      <c r="G12" s="1">
        <v>600</v>
      </c>
      <c r="H12" s="1"/>
    </row>
    <row r="13" spans="1:13" x14ac:dyDescent="0.3">
      <c r="A13" s="1" t="s">
        <v>45</v>
      </c>
      <c r="B13" s="1"/>
      <c r="C13" s="1">
        <v>5402</v>
      </c>
      <c r="D13" s="1">
        <v>1799</v>
      </c>
      <c r="E13" s="1">
        <v>999</v>
      </c>
      <c r="F13" s="1"/>
      <c r="G13" s="1">
        <v>600</v>
      </c>
      <c r="H13" s="1"/>
    </row>
    <row r="14" spans="1:13" x14ac:dyDescent="0.3">
      <c r="A14" s="2" t="s">
        <v>46</v>
      </c>
      <c r="B14" s="2">
        <v>2299</v>
      </c>
      <c r="C14" s="2"/>
      <c r="D14" s="2"/>
      <c r="E14" s="2"/>
      <c r="F14" s="2"/>
      <c r="G14" s="2">
        <v>499</v>
      </c>
      <c r="H14" s="1"/>
    </row>
    <row r="15" spans="1:13" x14ac:dyDescent="0.3">
      <c r="A15" s="1" t="s">
        <v>47</v>
      </c>
      <c r="B15" s="1">
        <v>3002</v>
      </c>
      <c r="C15" s="1"/>
      <c r="D15" s="1">
        <v>1199</v>
      </c>
      <c r="E15" s="1"/>
      <c r="F15" s="1">
        <v>999</v>
      </c>
      <c r="G15" s="1">
        <v>600</v>
      </c>
      <c r="H15" s="1"/>
    </row>
    <row r="16" spans="1:13" x14ac:dyDescent="0.3">
      <c r="A16" s="1" t="s">
        <v>48</v>
      </c>
      <c r="B16" s="1">
        <v>3002</v>
      </c>
      <c r="C16" s="1"/>
      <c r="D16" s="1">
        <v>1199</v>
      </c>
      <c r="E16" s="1"/>
      <c r="F16" s="1">
        <v>999</v>
      </c>
      <c r="G16" s="1">
        <v>600</v>
      </c>
      <c r="H16" s="1"/>
    </row>
    <row r="17" spans="1:7" x14ac:dyDescent="0.3">
      <c r="A17" s="11" t="s">
        <v>70</v>
      </c>
      <c r="G17" s="1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Received</vt:lpstr>
      <vt:lpstr>Inventory</vt:lpstr>
      <vt:lpstr>sportspedal </vt:lpstr>
      <vt:lpstr>customer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Rajasekar</cp:lastModifiedBy>
  <dcterms:created xsi:type="dcterms:W3CDTF">2015-06-05T18:17:20Z</dcterms:created>
  <dcterms:modified xsi:type="dcterms:W3CDTF">2026-04-06T06:15:31Z</dcterms:modified>
</cp:coreProperties>
</file>